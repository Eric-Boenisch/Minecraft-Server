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CB88DA20-40EB-4C28-922D-F55530826D0F}" xr6:coauthVersionLast="47" xr6:coauthVersionMax="47" xr10:uidLastSave="{00000000-0000-0000-0000-000000000000}"/>
  <bookViews>
    <workbookView xWindow="-16320" yWindow="-7425" windowWidth="16440" windowHeight="2904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9" i="1" l="1"/>
  <c r="AD9" i="1" s="1"/>
  <c r="AB10" i="1"/>
  <c r="AB11" i="1"/>
  <c r="AD11" i="1" s="1"/>
  <c r="AB12" i="1"/>
  <c r="AD12" i="1" s="1"/>
  <c r="AB13" i="1"/>
  <c r="AD13" i="1" s="1"/>
  <c r="AB14" i="1"/>
  <c r="AD14" i="1" s="1"/>
  <c r="AB15" i="1"/>
  <c r="AD15" i="1" s="1"/>
  <c r="AB16" i="1"/>
  <c r="AD16" i="1" s="1"/>
  <c r="AB17" i="1"/>
  <c r="AD17" i="1" s="1"/>
  <c r="AB18" i="1"/>
  <c r="AD18" i="1" s="1"/>
  <c r="AB19" i="1"/>
  <c r="AB20" i="1"/>
  <c r="AD20" i="1" s="1"/>
  <c r="AB21" i="1"/>
  <c r="AD21" i="1" s="1"/>
  <c r="AB22" i="1"/>
  <c r="AD22" i="1" s="1"/>
  <c r="AB23" i="1"/>
  <c r="AD23" i="1" s="1"/>
  <c r="AB24" i="1"/>
  <c r="AD24" i="1" s="1"/>
  <c r="AB25" i="1"/>
  <c r="AD25" i="1" s="1"/>
  <c r="AB26" i="1"/>
  <c r="AB27" i="1"/>
  <c r="AB28" i="1"/>
  <c r="AD28" i="1" s="1"/>
  <c r="AB29" i="1"/>
  <c r="AD29" i="1" s="1"/>
  <c r="AB30" i="1"/>
  <c r="AD30" i="1" s="1"/>
  <c r="AB31" i="1"/>
  <c r="AD31" i="1" s="1"/>
  <c r="AB32" i="1"/>
  <c r="AD32" i="1" s="1"/>
  <c r="AB33" i="1"/>
  <c r="AD33" i="1" s="1"/>
  <c r="AD26" i="1"/>
  <c r="AD27" i="1"/>
  <c r="AD19" i="1"/>
  <c r="AD10" i="1"/>
  <c r="AB8" i="1"/>
  <c r="AD8" i="1" s="1"/>
  <c r="B5" i="1"/>
  <c r="B6" i="1" s="1"/>
  <c r="AB4" i="1"/>
  <c r="B4" i="1"/>
  <c r="AC4" i="1" l="1"/>
</calcChain>
</file>

<file path=xl/sharedStrings.xml><?xml version="1.0" encoding="utf-8"?>
<sst xmlns="http://schemas.openxmlformats.org/spreadsheetml/2006/main" count="18" uniqueCount="17">
  <si>
    <t>In game Name</t>
  </si>
  <si>
    <t>Edgar_</t>
  </si>
  <si>
    <t xml:space="preserve">Passwort </t>
  </si>
  <si>
    <t>test</t>
  </si>
  <si>
    <t>Geld eingezahlt</t>
  </si>
  <si>
    <t>Privatgewinn</t>
  </si>
  <si>
    <t>Privatgewinn minus Absicherung</t>
  </si>
  <si>
    <t>Kontingent ohne Privatgewinn</t>
  </si>
  <si>
    <t>aktuelles Kontingent</t>
  </si>
  <si>
    <t>Monat</t>
  </si>
  <si>
    <t>Monatskontingent</t>
  </si>
  <si>
    <t>Monatskosten</t>
  </si>
  <si>
    <t>Monatsüberschuss/-defizit</t>
  </si>
  <si>
    <t>bla</t>
  </si>
  <si>
    <t>bli</t>
  </si>
  <si>
    <t>blub</t>
  </si>
  <si>
    <t>ende20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</si>
</sst>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[$-407]mmmm\ 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44" fontId="1" fillId="0" borderId="0" xfId="0" applyNumberFormat="1" applyFont="1"/>
    <xf numFmtId="0" fontId="2" fillId="2" borderId="0" xfId="0" applyFont="1" applyFill="1"/>
    <xf numFmtId="164" fontId="1" fillId="0" borderId="0" xfId="0" applyNumberFormat="1" applyFont="1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4"/>
  <sheetViews>
    <sheetView tabSelected="1" topLeftCell="I1" zoomScaleNormal="100" workbookViewId="0">
      <selection activeCell="U8" sqref="U8"/>
    </sheetView>
  </sheetViews>
  <sheetFormatPr baseColWidth="10" defaultColWidth="9.140625" defaultRowHeight="15" x14ac:dyDescent="0.25"/>
  <cols>
    <col min="1" max="1" width="26.7109375" customWidth="1"/>
    <col min="27" max="27" width="3.5703125" customWidth="1"/>
    <col min="28" max="28" width="20.140625" customWidth="1"/>
    <col min="29" max="29" width="31" customWidth="1"/>
    <col min="30" max="30" width="36.85546875" customWidth="1"/>
  </cols>
  <sheetData>
    <row r="1" spans="1:30" x14ac:dyDescent="0.25">
      <c r="A1" t="s">
        <v>0</v>
      </c>
      <c r="B1" t="s">
        <v>1</v>
      </c>
      <c r="C1" t="s">
        <v>13</v>
      </c>
      <c r="D1" t="s">
        <v>14</v>
      </c>
      <c r="E1" t="s">
        <v>15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t="s">
        <v>16</v>
      </c>
      <c r="AA1" s="1"/>
    </row>
    <row r="2" spans="1:30" x14ac:dyDescent="0.25">
      <c r="A2" t="s">
        <v>2</v>
      </c>
      <c r="B2" t="s">
        <v>3</v>
      </c>
      <c r="AA2" s="1"/>
    </row>
    <row r="3" spans="1:30" x14ac:dyDescent="0.25">
      <c r="A3" t="s">
        <v>4</v>
      </c>
      <c r="B3" s="2">
        <v>15</v>
      </c>
      <c r="AA3" s="1"/>
      <c r="AB3" t="s">
        <v>5</v>
      </c>
      <c r="AC3" t="s">
        <v>6</v>
      </c>
    </row>
    <row r="4" spans="1:30" x14ac:dyDescent="0.25">
      <c r="A4" t="s">
        <v>5</v>
      </c>
      <c r="B4" s="2">
        <f>B3*0.2</f>
        <v>3</v>
      </c>
      <c r="AA4" s="1"/>
      <c r="AB4" s="2">
        <f>SUM($B$4:Z4)</f>
        <v>3</v>
      </c>
      <c r="AC4" s="2">
        <f>AB4+SUM(AD8:AD33)</f>
        <v>-200.5</v>
      </c>
    </row>
    <row r="5" spans="1:30" x14ac:dyDescent="0.25">
      <c r="A5" t="s">
        <v>7</v>
      </c>
      <c r="B5" s="2">
        <f>B3-B4</f>
        <v>12</v>
      </c>
      <c r="AA5" s="1"/>
    </row>
    <row r="6" spans="1:30" x14ac:dyDescent="0.25">
      <c r="A6" t="s">
        <v>8</v>
      </c>
      <c r="B6" s="2">
        <f>B5-0.5*COUNTIF(B8:B20,"WAHR")</f>
        <v>11</v>
      </c>
      <c r="AA6" s="1"/>
    </row>
    <row r="7" spans="1:30" x14ac:dyDescent="0.25">
      <c r="A7" s="3" t="s">
        <v>9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t="s">
        <v>10</v>
      </c>
      <c r="AC7" t="s">
        <v>11</v>
      </c>
      <c r="AD7" t="s">
        <v>12</v>
      </c>
    </row>
    <row r="8" spans="1:30" x14ac:dyDescent="0.25">
      <c r="A8" s="4">
        <v>46296</v>
      </c>
      <c r="B8" t="b">
        <v>1</v>
      </c>
      <c r="C8" t="b">
        <v>0</v>
      </c>
      <c r="D8" t="b">
        <v>1</v>
      </c>
      <c r="E8" t="b">
        <v>0</v>
      </c>
      <c r="F8" t="b">
        <v>0</v>
      </c>
      <c r="G8" t="b">
        <v>1</v>
      </c>
      <c r="H8" t="b">
        <v>0</v>
      </c>
      <c r="I8" t="b">
        <v>0</v>
      </c>
      <c r="J8" t="b">
        <v>0</v>
      </c>
      <c r="K8" t="b">
        <v>0</v>
      </c>
      <c r="L8" t="b">
        <v>1</v>
      </c>
      <c r="M8" t="b">
        <v>0</v>
      </c>
      <c r="N8" t="b">
        <v>0</v>
      </c>
      <c r="O8" t="b">
        <v>0</v>
      </c>
      <c r="P8" t="b">
        <v>1</v>
      </c>
      <c r="Q8" t="b">
        <v>0</v>
      </c>
      <c r="R8" t="b">
        <v>0</v>
      </c>
      <c r="S8" t="b">
        <v>1</v>
      </c>
      <c r="T8" t="b">
        <v>1</v>
      </c>
      <c r="U8" t="b">
        <v>1</v>
      </c>
      <c r="V8" t="b">
        <v>0</v>
      </c>
      <c r="W8" t="b">
        <v>0</v>
      </c>
      <c r="X8" t="b">
        <v>0</v>
      </c>
      <c r="Y8" t="b">
        <v>0</v>
      </c>
      <c r="Z8" t="b">
        <v>0</v>
      </c>
      <c r="AA8" s="1"/>
      <c r="AB8" s="2">
        <f>0.5*COUNTIF($B8:Z8, "WAHR")</f>
        <v>4</v>
      </c>
      <c r="AC8" s="2">
        <v>8</v>
      </c>
      <c r="AD8" s="2">
        <f>AB8-AC8</f>
        <v>-4</v>
      </c>
    </row>
    <row r="9" spans="1:30" x14ac:dyDescent="0.25">
      <c r="A9" s="4">
        <v>46357</v>
      </c>
      <c r="B9" t="b">
        <v>1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b">
        <v>0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b">
        <v>0</v>
      </c>
      <c r="Y9" t="b">
        <v>0</v>
      </c>
      <c r="Z9" t="b">
        <v>0</v>
      </c>
      <c r="AA9" s="1"/>
      <c r="AB9" s="2">
        <f>0.5*COUNTIF($B9:Z9, "WAHR")</f>
        <v>0.5</v>
      </c>
      <c r="AC9" s="2">
        <v>8</v>
      </c>
      <c r="AD9" s="2">
        <f t="shared" ref="AD9:AD20" si="0">AB9-AC9</f>
        <v>-7.5</v>
      </c>
    </row>
    <row r="10" spans="1:30" x14ac:dyDescent="0.25">
      <c r="A10" s="4">
        <v>46388</v>
      </c>
      <c r="B10" t="b">
        <v>0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b">
        <v>0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b">
        <v>0</v>
      </c>
      <c r="W10" t="b">
        <v>0</v>
      </c>
      <c r="X10" t="b">
        <v>0</v>
      </c>
      <c r="Y10" t="b">
        <v>0</v>
      </c>
      <c r="Z10" t="b">
        <v>0</v>
      </c>
      <c r="AA10" s="1"/>
      <c r="AB10" s="2">
        <f>0.5*COUNTIF($B10:Z10, "WAHR")</f>
        <v>0</v>
      </c>
      <c r="AC10" s="2">
        <v>8</v>
      </c>
      <c r="AD10" s="2">
        <f t="shared" si="0"/>
        <v>-8</v>
      </c>
    </row>
    <row r="11" spans="1:30" x14ac:dyDescent="0.25">
      <c r="A11" s="4">
        <v>46419</v>
      </c>
      <c r="B11" t="b">
        <v>0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b">
        <v>0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R11" t="b">
        <v>0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b">
        <v>0</v>
      </c>
      <c r="Y11" t="b">
        <v>0</v>
      </c>
      <c r="Z11" t="b">
        <v>0</v>
      </c>
      <c r="AA11" s="1"/>
      <c r="AB11" s="2">
        <f>0.5*COUNTIF($B11:Z11, "WAHR")</f>
        <v>0</v>
      </c>
      <c r="AC11" s="2">
        <v>8</v>
      </c>
      <c r="AD11" s="2">
        <f t="shared" si="0"/>
        <v>-8</v>
      </c>
    </row>
    <row r="12" spans="1:30" x14ac:dyDescent="0.25">
      <c r="A12" s="4">
        <v>46447</v>
      </c>
      <c r="B12" t="b">
        <v>0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  <c r="L12" t="b">
        <v>0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b">
        <v>0</v>
      </c>
      <c r="Y12" t="b">
        <v>0</v>
      </c>
      <c r="Z12" t="b">
        <v>0</v>
      </c>
      <c r="AA12" s="1"/>
      <c r="AB12" s="2">
        <f>0.5*COUNTIF($B12:Z12, "WAHR")</f>
        <v>0</v>
      </c>
      <c r="AC12" s="2">
        <v>8</v>
      </c>
      <c r="AD12" s="2">
        <f t="shared" si="0"/>
        <v>-8</v>
      </c>
    </row>
    <row r="13" spans="1:30" x14ac:dyDescent="0.25">
      <c r="A13" s="4">
        <v>46478</v>
      </c>
      <c r="B13" t="b">
        <v>0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0</v>
      </c>
      <c r="J13" t="b">
        <v>0</v>
      </c>
      <c r="K13" t="b">
        <v>0</v>
      </c>
      <c r="L13" t="b">
        <v>0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R13" t="b">
        <v>0</v>
      </c>
      <c r="S13" t="b">
        <v>0</v>
      </c>
      <c r="T13" t="b">
        <v>0</v>
      </c>
      <c r="U13" t="b">
        <v>0</v>
      </c>
      <c r="V13" t="b">
        <v>0</v>
      </c>
      <c r="W13" t="b">
        <v>0</v>
      </c>
      <c r="X13" t="b">
        <v>0</v>
      </c>
      <c r="Y13" t="b">
        <v>0</v>
      </c>
      <c r="Z13" t="b">
        <v>0</v>
      </c>
      <c r="AA13" s="1"/>
      <c r="AB13" s="2">
        <f>0.5*COUNTIF($B13:Z13, "WAHR")</f>
        <v>0</v>
      </c>
      <c r="AC13" s="2">
        <v>8</v>
      </c>
      <c r="AD13" s="2">
        <f t="shared" si="0"/>
        <v>-8</v>
      </c>
    </row>
    <row r="14" spans="1:30" x14ac:dyDescent="0.25">
      <c r="A14" s="4">
        <v>46508</v>
      </c>
      <c r="B14" t="b">
        <v>0</v>
      </c>
      <c r="C14" t="b">
        <v>0</v>
      </c>
      <c r="D14" t="b">
        <v>0</v>
      </c>
      <c r="E14" t="b">
        <v>0</v>
      </c>
      <c r="F14" t="b">
        <v>0</v>
      </c>
      <c r="G14" t="b">
        <v>0</v>
      </c>
      <c r="H14" t="b">
        <v>0</v>
      </c>
      <c r="I14" t="b">
        <v>0</v>
      </c>
      <c r="J14" t="b">
        <v>0</v>
      </c>
      <c r="K14" t="b">
        <v>0</v>
      </c>
      <c r="L14" t="b">
        <v>0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0</v>
      </c>
      <c r="V14" t="b">
        <v>0</v>
      </c>
      <c r="W14" t="b">
        <v>0</v>
      </c>
      <c r="X14" t="b">
        <v>0</v>
      </c>
      <c r="Y14" t="b">
        <v>0</v>
      </c>
      <c r="Z14" t="b">
        <v>0</v>
      </c>
      <c r="AA14" s="1"/>
      <c r="AB14" s="2">
        <f>0.5*COUNTIF($B14:Z14, "WAHR")</f>
        <v>0</v>
      </c>
      <c r="AC14" s="2">
        <v>8</v>
      </c>
      <c r="AD14" s="2">
        <f t="shared" si="0"/>
        <v>-8</v>
      </c>
    </row>
    <row r="15" spans="1:30" x14ac:dyDescent="0.25">
      <c r="A15" s="4">
        <v>46539</v>
      </c>
      <c r="B15" t="b">
        <v>0</v>
      </c>
      <c r="C15" t="b">
        <v>0</v>
      </c>
      <c r="D15" t="b">
        <v>0</v>
      </c>
      <c r="E15" t="b">
        <v>0</v>
      </c>
      <c r="F15" t="b">
        <v>0</v>
      </c>
      <c r="G15" t="b">
        <v>0</v>
      </c>
      <c r="H15" t="b">
        <v>0</v>
      </c>
      <c r="I15" t="b">
        <v>0</v>
      </c>
      <c r="J15" t="b">
        <v>0</v>
      </c>
      <c r="K15" t="b">
        <v>0</v>
      </c>
      <c r="L15" t="b">
        <v>0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b">
        <v>0</v>
      </c>
      <c r="Y15" t="b">
        <v>0</v>
      </c>
      <c r="Z15" t="b">
        <v>0</v>
      </c>
      <c r="AA15" s="1"/>
      <c r="AB15" s="2">
        <f>0.5*COUNTIF($B15:Z15, "WAHR")</f>
        <v>0</v>
      </c>
      <c r="AC15" s="2">
        <v>8</v>
      </c>
      <c r="AD15" s="2">
        <f t="shared" si="0"/>
        <v>-8</v>
      </c>
    </row>
    <row r="16" spans="1:30" x14ac:dyDescent="0.25">
      <c r="A16" s="4">
        <v>46569</v>
      </c>
      <c r="B16" t="b">
        <v>0</v>
      </c>
      <c r="C16" t="b">
        <v>0</v>
      </c>
      <c r="D16" t="b">
        <v>0</v>
      </c>
      <c r="E16" t="b">
        <v>0</v>
      </c>
      <c r="F16" t="b">
        <v>0</v>
      </c>
      <c r="G16" t="b">
        <v>0</v>
      </c>
      <c r="H16" t="b">
        <v>0</v>
      </c>
      <c r="I16" t="b">
        <v>0</v>
      </c>
      <c r="J16" t="b">
        <v>0</v>
      </c>
      <c r="K16" t="b">
        <v>0</v>
      </c>
      <c r="L16" t="b">
        <v>0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b">
        <v>0</v>
      </c>
      <c r="W16" t="b">
        <v>0</v>
      </c>
      <c r="X16" t="b">
        <v>0</v>
      </c>
      <c r="Y16" t="b">
        <v>0</v>
      </c>
      <c r="Z16" t="b">
        <v>0</v>
      </c>
      <c r="AA16" s="1"/>
      <c r="AB16" s="2">
        <f>0.5*COUNTIF($B16:Z16, "WAHR")</f>
        <v>0</v>
      </c>
      <c r="AC16" s="2">
        <v>8</v>
      </c>
      <c r="AD16" s="2">
        <f t="shared" si="0"/>
        <v>-8</v>
      </c>
    </row>
    <row r="17" spans="1:30" x14ac:dyDescent="0.25">
      <c r="A17" s="4">
        <v>46600</v>
      </c>
      <c r="B17" t="b">
        <v>0</v>
      </c>
      <c r="C17" t="b">
        <v>0</v>
      </c>
      <c r="D17" t="b">
        <v>0</v>
      </c>
      <c r="E17" t="b">
        <v>0</v>
      </c>
      <c r="F17" t="b">
        <v>0</v>
      </c>
      <c r="G17" t="b">
        <v>0</v>
      </c>
      <c r="H17" t="b">
        <v>0</v>
      </c>
      <c r="I17" t="b">
        <v>0</v>
      </c>
      <c r="J17" t="b">
        <v>0</v>
      </c>
      <c r="K17" t="b">
        <v>0</v>
      </c>
      <c r="L17" t="b">
        <v>0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b">
        <v>0</v>
      </c>
      <c r="Y17" t="b">
        <v>0</v>
      </c>
      <c r="Z17" t="b">
        <v>0</v>
      </c>
      <c r="AA17" s="1"/>
      <c r="AB17" s="2">
        <f>0.5*COUNTIF($B17:Z17, "WAHR")</f>
        <v>0</v>
      </c>
      <c r="AC17" s="2">
        <v>8</v>
      </c>
      <c r="AD17" s="2">
        <f t="shared" si="0"/>
        <v>-8</v>
      </c>
    </row>
    <row r="18" spans="1:30" x14ac:dyDescent="0.25">
      <c r="A18" s="4">
        <v>46631</v>
      </c>
      <c r="B18" t="b">
        <v>0</v>
      </c>
      <c r="C18" t="b">
        <v>0</v>
      </c>
      <c r="D18" t="b">
        <v>0</v>
      </c>
      <c r="E18" t="b">
        <v>0</v>
      </c>
      <c r="F18" t="b">
        <v>0</v>
      </c>
      <c r="G18" t="b">
        <v>0</v>
      </c>
      <c r="H18" t="b">
        <v>0</v>
      </c>
      <c r="I18" t="b">
        <v>0</v>
      </c>
      <c r="J18" t="b">
        <v>0</v>
      </c>
      <c r="K18" t="b">
        <v>0</v>
      </c>
      <c r="L18" t="b">
        <v>0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b">
        <v>0</v>
      </c>
      <c r="Y18" t="b">
        <v>0</v>
      </c>
      <c r="Z18" t="b">
        <v>0</v>
      </c>
      <c r="AA18" s="1"/>
      <c r="AB18" s="2">
        <f>0.5*COUNTIF($B18:Z18, "WAHR")</f>
        <v>0</v>
      </c>
      <c r="AC18" s="2">
        <v>8</v>
      </c>
      <c r="AD18" s="2">
        <f t="shared" si="0"/>
        <v>-8</v>
      </c>
    </row>
    <row r="19" spans="1:30" x14ac:dyDescent="0.25">
      <c r="A19" s="4">
        <v>46661</v>
      </c>
      <c r="B19" t="b">
        <v>0</v>
      </c>
      <c r="C19" t="b">
        <v>0</v>
      </c>
      <c r="D19" t="b">
        <v>0</v>
      </c>
      <c r="E19" t="b">
        <v>0</v>
      </c>
      <c r="F19" t="b">
        <v>0</v>
      </c>
      <c r="G19" t="b">
        <v>0</v>
      </c>
      <c r="H19" t="b">
        <v>0</v>
      </c>
      <c r="I19" t="b">
        <v>0</v>
      </c>
      <c r="J19" t="b">
        <v>0</v>
      </c>
      <c r="K19" t="b">
        <v>0</v>
      </c>
      <c r="L19" t="b">
        <v>0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b">
        <v>0</v>
      </c>
      <c r="Y19" t="b">
        <v>0</v>
      </c>
      <c r="Z19" t="b">
        <v>0</v>
      </c>
      <c r="AA19" s="1"/>
      <c r="AB19" s="2">
        <f>0.5*COUNTIF($B19:Z19, "WAHR")</f>
        <v>0</v>
      </c>
      <c r="AC19" s="2">
        <v>8</v>
      </c>
      <c r="AD19" s="2">
        <f t="shared" si="0"/>
        <v>-8</v>
      </c>
    </row>
    <row r="20" spans="1:30" x14ac:dyDescent="0.25">
      <c r="A20" s="4">
        <v>46692</v>
      </c>
      <c r="B20" t="b">
        <v>0</v>
      </c>
      <c r="C20" t="b">
        <v>0</v>
      </c>
      <c r="D20" t="b">
        <v>0</v>
      </c>
      <c r="E20" t="b">
        <v>0</v>
      </c>
      <c r="F20" t="b">
        <v>0</v>
      </c>
      <c r="G20" t="b">
        <v>0</v>
      </c>
      <c r="H20" t="b">
        <v>0</v>
      </c>
      <c r="I20" t="b">
        <v>0</v>
      </c>
      <c r="J20" t="b">
        <v>0</v>
      </c>
      <c r="K20" t="b">
        <v>0</v>
      </c>
      <c r="L20" t="b">
        <v>0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b">
        <v>0</v>
      </c>
      <c r="W20" t="b">
        <v>0</v>
      </c>
      <c r="X20" t="b">
        <v>0</v>
      </c>
      <c r="Y20" t="b">
        <v>0</v>
      </c>
      <c r="Z20" t="b">
        <v>0</v>
      </c>
      <c r="AA20" s="1"/>
      <c r="AB20" s="2">
        <f>0.5*COUNTIF($B20:Z20, "WAHR")</f>
        <v>0</v>
      </c>
      <c r="AC20" s="2">
        <v>8</v>
      </c>
      <c r="AD20" s="2">
        <f t="shared" si="0"/>
        <v>-8</v>
      </c>
    </row>
    <row r="21" spans="1:30" x14ac:dyDescent="0.25">
      <c r="A21" s="4">
        <v>46722</v>
      </c>
      <c r="B21" t="b">
        <v>0</v>
      </c>
      <c r="C21" t="b">
        <v>0</v>
      </c>
      <c r="D21" t="b">
        <v>0</v>
      </c>
      <c r="E21" t="b">
        <v>0</v>
      </c>
      <c r="F21" t="b">
        <v>0</v>
      </c>
      <c r="G21" t="b">
        <v>0</v>
      </c>
      <c r="H21" t="b">
        <v>0</v>
      </c>
      <c r="I21" t="b">
        <v>0</v>
      </c>
      <c r="J21" t="b">
        <v>0</v>
      </c>
      <c r="K21" t="b">
        <v>0</v>
      </c>
      <c r="L21" t="b">
        <v>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b">
        <v>0</v>
      </c>
      <c r="W21" t="b">
        <v>0</v>
      </c>
      <c r="X21" t="b">
        <v>0</v>
      </c>
      <c r="Y21" t="b">
        <v>0</v>
      </c>
      <c r="Z21" t="b">
        <v>0</v>
      </c>
      <c r="AA21" s="1"/>
      <c r="AB21" s="2">
        <f>0.5*COUNTIF($B21:Z21, "WAHR")</f>
        <v>0</v>
      </c>
      <c r="AC21" s="2">
        <v>8</v>
      </c>
      <c r="AD21" s="2">
        <f t="shared" ref="AD21:AD33" si="1">AB21-AC21</f>
        <v>-8</v>
      </c>
    </row>
    <row r="22" spans="1:30" x14ac:dyDescent="0.25">
      <c r="A22" s="4">
        <v>46753</v>
      </c>
      <c r="B22" t="b">
        <v>0</v>
      </c>
      <c r="C22" t="b">
        <v>0</v>
      </c>
      <c r="D22" t="b">
        <v>0</v>
      </c>
      <c r="E22" t="b">
        <v>0</v>
      </c>
      <c r="F22" t="b">
        <v>0</v>
      </c>
      <c r="G22" t="b">
        <v>0</v>
      </c>
      <c r="H22" t="b">
        <v>0</v>
      </c>
      <c r="I22" t="b">
        <v>0</v>
      </c>
      <c r="J22" t="b">
        <v>0</v>
      </c>
      <c r="K22" t="b">
        <v>0</v>
      </c>
      <c r="L22" t="b">
        <v>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R22" t="b">
        <v>0</v>
      </c>
      <c r="S22" t="b">
        <v>0</v>
      </c>
      <c r="T22" t="b">
        <v>0</v>
      </c>
      <c r="U22" t="b">
        <v>0</v>
      </c>
      <c r="V22" t="b">
        <v>0</v>
      </c>
      <c r="W22" t="b">
        <v>0</v>
      </c>
      <c r="X22" t="b">
        <v>0</v>
      </c>
      <c r="Y22" t="b">
        <v>0</v>
      </c>
      <c r="Z22" t="b">
        <v>0</v>
      </c>
      <c r="AA22" s="1"/>
      <c r="AB22" s="2">
        <f>0.5*COUNTIF($B22:Z22, "WAHR")</f>
        <v>0</v>
      </c>
      <c r="AC22" s="2">
        <v>8</v>
      </c>
      <c r="AD22" s="2">
        <f t="shared" si="1"/>
        <v>-8</v>
      </c>
    </row>
    <row r="23" spans="1:30" x14ac:dyDescent="0.25">
      <c r="A23" s="4">
        <v>46784</v>
      </c>
      <c r="B23" t="b">
        <v>0</v>
      </c>
      <c r="C23" t="b">
        <v>0</v>
      </c>
      <c r="D23" t="b">
        <v>0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  <c r="K23" t="b">
        <v>0</v>
      </c>
      <c r="L23" t="b">
        <v>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b">
        <v>0</v>
      </c>
      <c r="Y23" t="b">
        <v>0</v>
      </c>
      <c r="Z23" t="b">
        <v>0</v>
      </c>
      <c r="AA23" s="1"/>
      <c r="AB23" s="2">
        <f>0.5*COUNTIF($B23:Z23, "WAHR")</f>
        <v>0</v>
      </c>
      <c r="AC23" s="2">
        <v>8</v>
      </c>
      <c r="AD23" s="2">
        <f t="shared" si="1"/>
        <v>-8</v>
      </c>
    </row>
    <row r="24" spans="1:30" x14ac:dyDescent="0.25">
      <c r="A24" s="4">
        <v>46813</v>
      </c>
      <c r="B24" t="b">
        <v>0</v>
      </c>
      <c r="C24" t="b">
        <v>0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  <c r="L24" t="b">
        <v>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R24" t="b">
        <v>0</v>
      </c>
      <c r="S24" t="b">
        <v>0</v>
      </c>
      <c r="T24" t="b">
        <v>0</v>
      </c>
      <c r="U24" t="b">
        <v>0</v>
      </c>
      <c r="V24" t="b">
        <v>0</v>
      </c>
      <c r="W24" t="b">
        <v>0</v>
      </c>
      <c r="X24" t="b">
        <v>0</v>
      </c>
      <c r="Y24" t="b">
        <v>0</v>
      </c>
      <c r="Z24" t="b">
        <v>0</v>
      </c>
      <c r="AA24" s="1"/>
      <c r="AB24" s="2">
        <f>0.5*COUNTIF($B24:Z24, "WAHR")</f>
        <v>0</v>
      </c>
      <c r="AC24" s="2">
        <v>8</v>
      </c>
      <c r="AD24" s="2">
        <f t="shared" si="1"/>
        <v>-8</v>
      </c>
    </row>
    <row r="25" spans="1:30" x14ac:dyDescent="0.25">
      <c r="A25" s="4">
        <v>46844</v>
      </c>
      <c r="B25" t="b">
        <v>0</v>
      </c>
      <c r="C25" t="b">
        <v>0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  <c r="L25" t="b">
        <v>0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b">
        <v>0</v>
      </c>
      <c r="W25" t="b">
        <v>0</v>
      </c>
      <c r="X25" t="b">
        <v>0</v>
      </c>
      <c r="Y25" t="b">
        <v>0</v>
      </c>
      <c r="Z25" t="b">
        <v>0</v>
      </c>
      <c r="AA25" s="1"/>
      <c r="AB25" s="2">
        <f>0.5*COUNTIF($B25:Z25, "WAHR")</f>
        <v>0</v>
      </c>
      <c r="AC25" s="2">
        <v>8</v>
      </c>
      <c r="AD25" s="2">
        <f t="shared" si="1"/>
        <v>-8</v>
      </c>
    </row>
    <row r="26" spans="1:30" x14ac:dyDescent="0.25">
      <c r="A26" s="4">
        <v>46874</v>
      </c>
      <c r="B26" t="b">
        <v>0</v>
      </c>
      <c r="C26" t="b">
        <v>0</v>
      </c>
      <c r="D26" t="b">
        <v>0</v>
      </c>
      <c r="E26" t="b">
        <v>0</v>
      </c>
      <c r="F26" t="b">
        <v>0</v>
      </c>
      <c r="G26" t="b">
        <v>0</v>
      </c>
      <c r="H26" t="b">
        <v>0</v>
      </c>
      <c r="I26" t="b">
        <v>0</v>
      </c>
      <c r="J26" t="b">
        <v>0</v>
      </c>
      <c r="K26" t="b">
        <v>0</v>
      </c>
      <c r="L26" t="b">
        <v>0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 t="b">
        <v>0</v>
      </c>
      <c r="Y26" t="b">
        <v>0</v>
      </c>
      <c r="Z26" t="b">
        <v>0</v>
      </c>
      <c r="AA26" s="1"/>
      <c r="AB26" s="2">
        <f>0.5*COUNTIF($B26:Z26, "WAHR")</f>
        <v>0</v>
      </c>
      <c r="AC26" s="2">
        <v>8</v>
      </c>
      <c r="AD26" s="2">
        <f t="shared" si="1"/>
        <v>-8</v>
      </c>
    </row>
    <row r="27" spans="1:30" x14ac:dyDescent="0.25">
      <c r="A27" s="4">
        <v>46905</v>
      </c>
      <c r="B27" t="b">
        <v>0</v>
      </c>
      <c r="C27" t="b">
        <v>0</v>
      </c>
      <c r="D27" t="b">
        <v>0</v>
      </c>
      <c r="E27" t="b">
        <v>0</v>
      </c>
      <c r="F27" t="b">
        <v>0</v>
      </c>
      <c r="G27" t="b">
        <v>0</v>
      </c>
      <c r="H27" t="b">
        <v>0</v>
      </c>
      <c r="I27" t="b">
        <v>0</v>
      </c>
      <c r="J27" t="b">
        <v>0</v>
      </c>
      <c r="K27" t="b">
        <v>0</v>
      </c>
      <c r="L27" t="b">
        <v>0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0</v>
      </c>
      <c r="V27" t="b">
        <v>0</v>
      </c>
      <c r="W27" t="b">
        <v>0</v>
      </c>
      <c r="X27" t="b">
        <v>0</v>
      </c>
      <c r="Y27" t="b">
        <v>0</v>
      </c>
      <c r="Z27" t="b">
        <v>0</v>
      </c>
      <c r="AA27" s="1"/>
      <c r="AB27" s="2">
        <f>0.5*COUNTIF($B27:Z27, "WAHR")</f>
        <v>0</v>
      </c>
      <c r="AC27" s="2">
        <v>8</v>
      </c>
      <c r="AD27" s="2">
        <f t="shared" si="1"/>
        <v>-8</v>
      </c>
    </row>
    <row r="28" spans="1:30" x14ac:dyDescent="0.25">
      <c r="A28" s="4">
        <v>46935</v>
      </c>
      <c r="B28" t="b">
        <v>0</v>
      </c>
      <c r="C28" t="b">
        <v>0</v>
      </c>
      <c r="D28" t="b">
        <v>0</v>
      </c>
      <c r="E28" t="b">
        <v>0</v>
      </c>
      <c r="F28" t="b">
        <v>0</v>
      </c>
      <c r="G28" t="b">
        <v>0</v>
      </c>
      <c r="H28" t="b">
        <v>0</v>
      </c>
      <c r="I28" t="b">
        <v>0</v>
      </c>
      <c r="J28" t="b">
        <v>0</v>
      </c>
      <c r="K28" t="b">
        <v>0</v>
      </c>
      <c r="L28" t="b">
        <v>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b">
        <v>0</v>
      </c>
      <c r="W28" t="b">
        <v>0</v>
      </c>
      <c r="X28" t="b">
        <v>0</v>
      </c>
      <c r="Y28" t="b">
        <v>0</v>
      </c>
      <c r="Z28" t="b">
        <v>0</v>
      </c>
      <c r="AA28" s="1"/>
      <c r="AB28" s="2">
        <f>0.5*COUNTIF($B28:Z28, "WAHR")</f>
        <v>0</v>
      </c>
      <c r="AC28" s="2">
        <v>8</v>
      </c>
      <c r="AD28" s="2">
        <f t="shared" si="1"/>
        <v>-8</v>
      </c>
    </row>
    <row r="29" spans="1:30" x14ac:dyDescent="0.25">
      <c r="A29" s="4">
        <v>46966</v>
      </c>
      <c r="B29" t="b">
        <v>0</v>
      </c>
      <c r="C29" t="b">
        <v>0</v>
      </c>
      <c r="D29" t="b">
        <v>0</v>
      </c>
      <c r="E29" t="b">
        <v>0</v>
      </c>
      <c r="F29" t="b">
        <v>0</v>
      </c>
      <c r="G29" t="b">
        <v>0</v>
      </c>
      <c r="H29" t="b">
        <v>0</v>
      </c>
      <c r="I29" t="b">
        <v>0</v>
      </c>
      <c r="J29" t="b">
        <v>0</v>
      </c>
      <c r="K29" t="b">
        <v>0</v>
      </c>
      <c r="L29" t="b">
        <v>0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 t="b">
        <v>0</v>
      </c>
      <c r="Y29" t="b">
        <v>0</v>
      </c>
      <c r="Z29" t="b">
        <v>0</v>
      </c>
      <c r="AA29" s="1"/>
      <c r="AB29" s="2">
        <f>0.5*COUNTIF($B29:Z29, "WAHR")</f>
        <v>0</v>
      </c>
      <c r="AC29" s="2">
        <v>8</v>
      </c>
      <c r="AD29" s="2">
        <f t="shared" si="1"/>
        <v>-8</v>
      </c>
    </row>
    <row r="30" spans="1:30" x14ac:dyDescent="0.25">
      <c r="A30" s="4">
        <v>46997</v>
      </c>
      <c r="B30" t="b">
        <v>0</v>
      </c>
      <c r="C30" t="b">
        <v>0</v>
      </c>
      <c r="D30" t="b">
        <v>0</v>
      </c>
      <c r="E30" t="b">
        <v>0</v>
      </c>
      <c r="F30" t="b">
        <v>0</v>
      </c>
      <c r="G30" t="b">
        <v>0</v>
      </c>
      <c r="H30" t="b">
        <v>0</v>
      </c>
      <c r="I30" t="b">
        <v>0</v>
      </c>
      <c r="J30" t="b">
        <v>0</v>
      </c>
      <c r="K30" t="b">
        <v>0</v>
      </c>
      <c r="L30" t="b">
        <v>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b">
        <v>0</v>
      </c>
      <c r="W30" t="b">
        <v>0</v>
      </c>
      <c r="X30" t="b">
        <v>0</v>
      </c>
      <c r="Y30" t="b">
        <v>0</v>
      </c>
      <c r="Z30" t="b">
        <v>0</v>
      </c>
      <c r="AA30" s="1"/>
      <c r="AB30" s="2">
        <f>0.5*COUNTIF($B30:Z30, "WAHR")</f>
        <v>0</v>
      </c>
      <c r="AC30" s="2">
        <v>8</v>
      </c>
      <c r="AD30" s="2">
        <f t="shared" si="1"/>
        <v>-8</v>
      </c>
    </row>
    <row r="31" spans="1:30" x14ac:dyDescent="0.25">
      <c r="A31" s="4">
        <v>47027</v>
      </c>
      <c r="B31" t="b">
        <v>0</v>
      </c>
      <c r="C31" t="b">
        <v>0</v>
      </c>
      <c r="D31" t="b">
        <v>0</v>
      </c>
      <c r="E31" t="b">
        <v>0</v>
      </c>
      <c r="F31" t="b">
        <v>0</v>
      </c>
      <c r="G31" t="b">
        <v>0</v>
      </c>
      <c r="H31" t="b">
        <v>0</v>
      </c>
      <c r="I31" t="b">
        <v>0</v>
      </c>
      <c r="J31" t="b">
        <v>0</v>
      </c>
      <c r="K31" t="b">
        <v>0</v>
      </c>
      <c r="L31" t="b">
        <v>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0</v>
      </c>
      <c r="V31" t="b">
        <v>0</v>
      </c>
      <c r="W31" t="b">
        <v>0</v>
      </c>
      <c r="X31" t="b">
        <v>0</v>
      </c>
      <c r="Y31" t="b">
        <v>0</v>
      </c>
      <c r="Z31" t="b">
        <v>0</v>
      </c>
      <c r="AA31" s="1"/>
      <c r="AB31" s="2">
        <f>0.5*COUNTIF($B31:Z31, "WAHR")</f>
        <v>0</v>
      </c>
      <c r="AC31" s="2">
        <v>8</v>
      </c>
      <c r="AD31" s="2">
        <f t="shared" si="1"/>
        <v>-8</v>
      </c>
    </row>
    <row r="32" spans="1:30" x14ac:dyDescent="0.25">
      <c r="A32" s="4">
        <v>47058</v>
      </c>
      <c r="B32" t="b">
        <v>0</v>
      </c>
      <c r="C32" t="b">
        <v>0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  <c r="L32" t="b">
        <v>0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R32" t="b">
        <v>0</v>
      </c>
      <c r="S32" t="b">
        <v>0</v>
      </c>
      <c r="T32" t="b">
        <v>0</v>
      </c>
      <c r="U32" t="b">
        <v>0</v>
      </c>
      <c r="V32" t="b">
        <v>0</v>
      </c>
      <c r="W32" t="b">
        <v>0</v>
      </c>
      <c r="X32" t="b">
        <v>0</v>
      </c>
      <c r="Y32" t="b">
        <v>0</v>
      </c>
      <c r="Z32" t="b">
        <v>0</v>
      </c>
      <c r="AA32" s="1"/>
      <c r="AB32" s="2">
        <f>0.5*COUNTIF($B32:Z32, "WAHR")</f>
        <v>0</v>
      </c>
      <c r="AC32" s="2">
        <v>8</v>
      </c>
      <c r="AD32" s="2">
        <f t="shared" si="1"/>
        <v>-8</v>
      </c>
    </row>
    <row r="33" spans="1:30" x14ac:dyDescent="0.25">
      <c r="A33" s="4">
        <v>47088</v>
      </c>
      <c r="B33" t="b">
        <v>0</v>
      </c>
      <c r="C33" t="b">
        <v>0</v>
      </c>
      <c r="D33" t="b">
        <v>0</v>
      </c>
      <c r="E33" t="b">
        <v>0</v>
      </c>
      <c r="F33" t="b">
        <v>0</v>
      </c>
      <c r="G33" t="b">
        <v>0</v>
      </c>
      <c r="H33" t="b">
        <v>0</v>
      </c>
      <c r="I33" t="b">
        <v>0</v>
      </c>
      <c r="J33" t="b">
        <v>0</v>
      </c>
      <c r="K33" t="b">
        <v>0</v>
      </c>
      <c r="L33" t="b">
        <v>0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b">
        <v>0</v>
      </c>
      <c r="W33" t="b">
        <v>0</v>
      </c>
      <c r="X33" t="b">
        <v>0</v>
      </c>
      <c r="Y33" t="b">
        <v>0</v>
      </c>
      <c r="Z33" t="b">
        <v>0</v>
      </c>
      <c r="AA33" s="1"/>
      <c r="AB33" s="2">
        <f>0.5*COUNTIF($B33:Z33, "WAHR")</f>
        <v>0</v>
      </c>
      <c r="AC33" s="2">
        <v>8</v>
      </c>
      <c r="AD33" s="2">
        <f t="shared" si="1"/>
        <v>-8</v>
      </c>
    </row>
    <row r="34" spans="1:30" x14ac:dyDescent="0.25">
      <c r="A34" s="4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2026-10-19T15:58:29Z</dcterms:created>
  <dcterms:modified xsi:type="dcterms:W3CDTF">2026-10-22T19:36:50Z</dcterms:modified>
</cp:coreProperties>
</file>