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51840" windowHeight="21120"/>
  </bookViews>
  <sheets>
    <sheet sheetId="1" name="Tabelle1" state="visible" r:id="rId4"/>
  </sheets>
  <calcPr calcId="171027"/>
</workbook>
</file>

<file path=xl/sharedStrings.xml><?xml version="1.0" encoding="utf-8"?>
<sst xmlns="http://schemas.openxmlformats.org/spreadsheetml/2006/main" count="16" uniqueCount="15">
  <si>
    <t>In game Name</t>
  </si>
  <si>
    <t>Edgar_</t>
  </si>
  <si>
    <t>.test</t>
  </si>
  <si>
    <t xml:space="preserve">Passwort </t>
  </si>
  <si>
    <t>$2b$10$BzVbnHXDONnHTW90gZjfQe6PPkBxGBIgh.x.1XHbwd5r8EEzqsCxi</t>
  </si>
  <si>
    <t>$2b$10$VMWECcA6bHFcEgP5YPz21e02weZ41DqNGxa7TnMwzfZHt8keZPppi</t>
  </si>
  <si>
    <t>Geld eingezahlt</t>
  </si>
  <si>
    <t>Privatgewinn</t>
  </si>
  <si>
    <t>Privatgewinn minus Absicherung</t>
  </si>
  <si>
    <t>Kontingent ohne Privatgewinn</t>
  </si>
  <si>
    <t>aktuelles Kontingent</t>
  </si>
  <si>
    <t>Monat</t>
  </si>
  <si>
    <t>Monatskontingent</t>
  </si>
  <si>
    <t>Monatskosten</t>
  </si>
  <si>
    <t>Monatsüberschuss/-defizit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</si>
</sst>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 &quot;€&quot;_-;-* #,##0.00 &quot;€&quot;_-;_-* &quot;-&quot;?? &quot;€&quot;_-;_-@_-"/>
    <numFmt numFmtId="165" formatCode="[$-407]mmmm yy;@"/>
  </numFmts>
  <fonts count="3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b/>
      <color theme="0"/>
      <family val="2"/>
      <scheme val="minor"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/>
    <xf numFmtId="0" fontId="1" fillId="2" borderId="0" xfId="0" applyFont="1" applyFill="1"/>
    <xf numFmtId="0" fontId="1" fillId="0" borderId="0" xfId="0" applyFont="1" applyAlignment="1">
      <alignment wrapText="1"/>
    </xf>
    <xf numFmtId="164" fontId="1" fillId="0" borderId="0" xfId="0" applyNumberFormat="1" applyFont="1"/>
    <xf numFmtId="0" fontId="2" fillId="2" borderId="0" xfId="0" applyFont="1" applyFill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4"/>
  <sheetViews>
    <sheetView workbookViewId="0" zoomScale="100" zoomScaleNormal="100">
      <selection activeCell="D6" sqref="D6"/>
    </sheetView>
  </sheetViews>
  <sheetFormatPr defaultRowHeight="15" outlineLevelRow="0" outlineLevelCol="0" x14ac:dyDescent="0.25" defaultColWidth="9.140625"/>
  <cols>
    <col min="1" max="1" width="26.7109375" customWidth="1"/>
    <col min="2" max="2" width="17.5703125" customWidth="1"/>
    <col min="27" max="27" width="3.5703125" customWidth="1"/>
    <col min="28" max="28" width="20.140625" customWidth="1"/>
    <col min="29" max="29" width="31" customWidth="1"/>
    <col min="30" max="30" width="36.85546875" customWidth="1"/>
  </cols>
  <sheetData>
    <row r="1" spans="1:27" x14ac:dyDescent="0.25">
      <c r="A1" t="s">
        <v>0</v>
      </c>
      <c r="B1" t="s">
        <v>1</v>
      </c>
      <c r="C1" t="s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AA1" s="2"/>
    </row>
    <row r="2" spans="1:27" x14ac:dyDescent="0.25">
      <c r="A2" t="s">
        <v>3</v>
      </c>
      <c r="B2" s="3" t="s">
        <v>4</v>
      </c>
      <c r="C2" t="s">
        <v>5</v>
      </c>
      <c r="AA2" s="2"/>
    </row>
    <row r="3" spans="1:29" x14ac:dyDescent="0.25">
      <c r="A3" t="s">
        <v>6</v>
      </c>
      <c r="B3" s="4">
        <v>15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2"/>
      <c r="AB3" t="s">
        <v>7</v>
      </c>
      <c r="AC3" t="s">
        <v>8</v>
      </c>
    </row>
    <row r="4" spans="1:29" x14ac:dyDescent="0.25">
      <c r="A4" t="s">
        <v>7</v>
      </c>
      <c r="B4" s="4">
        <f>B3*0.2</f>
        <v>3</v>
      </c>
      <c r="C4" s="4">
        <f t="shared" ref="C4:Z4" si="0">C3*0.2</f>
        <v>0</v>
      </c>
      <c r="D4" s="4">
        <f t="shared" si="0"/>
        <v>0</v>
      </c>
      <c r="E4" s="4">
        <f t="shared" si="0"/>
        <v>0</v>
      </c>
      <c r="F4" s="4">
        <f t="shared" si="0"/>
        <v>0</v>
      </c>
      <c r="G4" s="4">
        <f t="shared" si="0"/>
        <v>0</v>
      </c>
      <c r="H4" s="4">
        <f t="shared" si="0"/>
        <v>0</v>
      </c>
      <c r="I4" s="4">
        <f t="shared" si="0"/>
        <v>0</v>
      </c>
      <c r="J4" s="4">
        <f t="shared" si="0"/>
        <v>0</v>
      </c>
      <c r="K4" s="4">
        <f t="shared" si="0"/>
        <v>0</v>
      </c>
      <c r="L4" s="4">
        <f t="shared" si="0"/>
        <v>0</v>
      </c>
      <c r="M4" s="4">
        <f t="shared" si="0"/>
        <v>0</v>
      </c>
      <c r="N4" s="4">
        <f t="shared" si="0"/>
        <v>0</v>
      </c>
      <c r="O4" s="4">
        <f t="shared" si="0"/>
        <v>0</v>
      </c>
      <c r="P4" s="4">
        <f t="shared" si="0"/>
        <v>0</v>
      </c>
      <c r="Q4" s="4">
        <f t="shared" si="0"/>
        <v>0</v>
      </c>
      <c r="R4" s="4">
        <f t="shared" si="0"/>
        <v>0</v>
      </c>
      <c r="S4" s="4">
        <f t="shared" si="0"/>
        <v>0</v>
      </c>
      <c r="T4" s="4">
        <f t="shared" si="0"/>
        <v>0</v>
      </c>
      <c r="U4" s="4">
        <f t="shared" si="0"/>
        <v>0</v>
      </c>
      <c r="V4" s="4">
        <f t="shared" si="0"/>
        <v>0</v>
      </c>
      <c r="W4" s="4">
        <f t="shared" si="0"/>
        <v>0</v>
      </c>
      <c r="X4" s="4">
        <f t="shared" si="0"/>
        <v>0</v>
      </c>
      <c r="Y4" s="4">
        <f t="shared" si="0"/>
        <v>0</v>
      </c>
      <c r="Z4" s="4">
        <f t="shared" si="0"/>
        <v>0</v>
      </c>
      <c r="AA4" s="2"/>
      <c r="AB4" s="4">
        <f>SUM($B$4:Z4)</f>
        <v>3</v>
      </c>
      <c r="AC4" s="4">
        <f>AB4+SUM(AD8:AD33)</f>
        <v>-200</v>
      </c>
    </row>
    <row r="5" spans="1:27" x14ac:dyDescent="0.25">
      <c r="A5" t="s">
        <v>9</v>
      </c>
      <c r="B5" s="4">
        <f>B3-B4</f>
        <v>12</v>
      </c>
      <c r="C5" s="4">
        <f t="shared" ref="C5:Z5" si="1">C3-C4</f>
        <v>0</v>
      </c>
      <c r="D5" s="4">
        <f t="shared" si="1"/>
        <v>0</v>
      </c>
      <c r="E5" s="4">
        <f t="shared" si="1"/>
        <v>0</v>
      </c>
      <c r="F5" s="4">
        <f t="shared" si="1"/>
        <v>0</v>
      </c>
      <c r="G5" s="4">
        <f t="shared" si="1"/>
        <v>0</v>
      </c>
      <c r="H5" s="4">
        <f t="shared" si="1"/>
        <v>0</v>
      </c>
      <c r="I5" s="4">
        <f t="shared" si="1"/>
        <v>0</v>
      </c>
      <c r="J5" s="4">
        <f t="shared" si="1"/>
        <v>0</v>
      </c>
      <c r="K5" s="4">
        <f t="shared" si="1"/>
        <v>0</v>
      </c>
      <c r="L5" s="4">
        <f t="shared" si="1"/>
        <v>0</v>
      </c>
      <c r="M5" s="4">
        <f t="shared" si="1"/>
        <v>0</v>
      </c>
      <c r="N5" s="4">
        <f t="shared" si="1"/>
        <v>0</v>
      </c>
      <c r="O5" s="4">
        <f t="shared" si="1"/>
        <v>0</v>
      </c>
      <c r="P5" s="4">
        <f t="shared" si="1"/>
        <v>0</v>
      </c>
      <c r="Q5" s="4">
        <f t="shared" si="1"/>
        <v>0</v>
      </c>
      <c r="R5" s="4">
        <f t="shared" si="1"/>
        <v>0</v>
      </c>
      <c r="S5" s="4">
        <f t="shared" si="1"/>
        <v>0</v>
      </c>
      <c r="T5" s="4">
        <f t="shared" si="1"/>
        <v>0</v>
      </c>
      <c r="U5" s="4">
        <f t="shared" si="1"/>
        <v>0</v>
      </c>
      <c r="V5" s="4">
        <f t="shared" si="1"/>
        <v>0</v>
      </c>
      <c r="W5" s="4">
        <f t="shared" si="1"/>
        <v>0</v>
      </c>
      <c r="X5" s="4">
        <f t="shared" si="1"/>
        <v>0</v>
      </c>
      <c r="Y5" s="4">
        <f t="shared" si="1"/>
        <v>0</v>
      </c>
      <c r="Z5" s="4">
        <f t="shared" si="1"/>
        <v>0</v>
      </c>
      <c r="AA5" s="2"/>
    </row>
    <row r="6" spans="1:27" x14ac:dyDescent="0.25">
      <c r="A6" t="s">
        <v>10</v>
      </c>
      <c r="B6" s="4">
        <f>B5-0.5*COUNTIF(B8:B20,"WAHR")</f>
        <v>10.5</v>
      </c>
      <c r="C6" s="4">
        <f t="shared" ref="C6:Z6" si="2">C5-0.5*COUNTIF(C8:C20,"WAHR")</f>
        <v>0</v>
      </c>
      <c r="D6" s="4">
        <f t="shared" si="2"/>
        <v>-0.5</v>
      </c>
      <c r="E6" s="4">
        <f t="shared" si="2"/>
        <v>0</v>
      </c>
      <c r="F6" s="4">
        <f t="shared" si="2"/>
        <v>0</v>
      </c>
      <c r="G6" s="4">
        <f t="shared" si="2"/>
        <v>-0.5</v>
      </c>
      <c r="H6" s="4">
        <f t="shared" si="2"/>
        <v>0</v>
      </c>
      <c r="I6" s="4">
        <f t="shared" si="2"/>
        <v>0</v>
      </c>
      <c r="J6" s="4">
        <f t="shared" si="2"/>
        <v>0</v>
      </c>
      <c r="K6" s="4">
        <f t="shared" si="2"/>
        <v>0</v>
      </c>
      <c r="L6" s="4">
        <f t="shared" si="2"/>
        <v>-0.5</v>
      </c>
      <c r="M6" s="4">
        <f t="shared" si="2"/>
        <v>0</v>
      </c>
      <c r="N6" s="4">
        <f t="shared" si="2"/>
        <v>0</v>
      </c>
      <c r="O6" s="4">
        <f t="shared" si="2"/>
        <v>0</v>
      </c>
      <c r="P6" s="4">
        <f t="shared" si="2"/>
        <v>-0.5</v>
      </c>
      <c r="Q6" s="4">
        <f t="shared" si="2"/>
        <v>0</v>
      </c>
      <c r="R6" s="4">
        <f t="shared" si="2"/>
        <v>0</v>
      </c>
      <c r="S6" s="4">
        <f t="shared" si="2"/>
        <v>-0.5</v>
      </c>
      <c r="T6" s="4">
        <f t="shared" si="2"/>
        <v>-0.5</v>
      </c>
      <c r="U6" s="4">
        <f t="shared" si="2"/>
        <v>-0.5</v>
      </c>
      <c r="V6" s="4">
        <f t="shared" si="2"/>
        <v>0</v>
      </c>
      <c r="W6" s="4">
        <f t="shared" si="2"/>
        <v>0</v>
      </c>
      <c r="X6" s="4">
        <f t="shared" si="2"/>
        <v>0</v>
      </c>
      <c r="Y6" s="4">
        <f t="shared" si="2"/>
        <v>0</v>
      </c>
      <c r="Z6" s="4">
        <f t="shared" si="2"/>
        <v>0</v>
      </c>
      <c r="AA6" s="2"/>
    </row>
    <row r="7" spans="1:30" x14ac:dyDescent="0.25">
      <c r="A7" s="5" t="s">
        <v>11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t="s">
        <v>12</v>
      </c>
      <c r="AC7" t="s">
        <v>13</v>
      </c>
      <c r="AD7" t="s">
        <v>14</v>
      </c>
    </row>
    <row r="8" spans="1:30" x14ac:dyDescent="0.25">
      <c r="A8" s="6">
        <v>46296</v>
      </c>
      <c r="B8" t="b">
        <v>1</v>
      </c>
      <c r="C8" t="b">
        <v>0</v>
      </c>
      <c r="D8" t="b">
        <v>1</v>
      </c>
      <c r="E8" t="b">
        <v>0</v>
      </c>
      <c r="F8" t="b">
        <v>0</v>
      </c>
      <c r="G8" t="b">
        <v>1</v>
      </c>
      <c r="H8" t="b">
        <v>0</v>
      </c>
      <c r="I8" t="b">
        <v>0</v>
      </c>
      <c r="J8" t="b">
        <v>0</v>
      </c>
      <c r="K8" t="b">
        <v>0</v>
      </c>
      <c r="L8" t="b">
        <v>1</v>
      </c>
      <c r="M8" t="b">
        <v>0</v>
      </c>
      <c r="N8" t="b">
        <v>0</v>
      </c>
      <c r="O8" t="b">
        <v>0</v>
      </c>
      <c r="P8" t="b">
        <v>1</v>
      </c>
      <c r="Q8" t="b">
        <v>0</v>
      </c>
      <c r="R8" t="b">
        <v>0</v>
      </c>
      <c r="S8" t="b">
        <v>1</v>
      </c>
      <c r="T8" t="b">
        <v>1</v>
      </c>
      <c r="U8" t="b">
        <v>1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s="2"/>
      <c r="AB8" s="4">
        <f>0.5*COUNTIF($B8:Z8, "WAHR")</f>
        <v>4</v>
      </c>
      <c r="AC8" s="4">
        <v>8</v>
      </c>
      <c r="AD8" s="4">
        <f>AB8-AC8</f>
        <v>-4</v>
      </c>
    </row>
    <row r="9" spans="1:30" x14ac:dyDescent="0.25">
      <c r="A9" s="6">
        <v>46357</v>
      </c>
      <c r="B9" t="b">
        <v>1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s="2"/>
      <c r="AB9" s="4">
        <f>0.5*COUNTIF($B9:Z9, "WAHR")</f>
        <v>0.5</v>
      </c>
      <c r="AC9" s="4">
        <v>8</v>
      </c>
      <c r="AD9" s="4">
        <f t="shared" ref="AD9:AD20" si="3">AB9-AC9</f>
        <v>-7.5</v>
      </c>
    </row>
    <row r="10" spans="1:30" x14ac:dyDescent="0.25">
      <c r="A10" s="6">
        <v>46388</v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s="2"/>
      <c r="AB10" s="4">
        <f>0.5*COUNTIF($B10:Z10, "WAHR")</f>
        <v>0</v>
      </c>
      <c r="AC10" s="4">
        <v>8</v>
      </c>
      <c r="AD10" s="4">
        <f t="shared" si="3"/>
        <v>-8</v>
      </c>
    </row>
    <row r="11" spans="1:30" x14ac:dyDescent="0.25">
      <c r="A11" s="6">
        <v>46419</v>
      </c>
      <c r="B11" t="b">
        <v>1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s="2"/>
      <c r="AB11" s="4">
        <f>0.5*COUNTIF($B11:Z11, "WAHR")</f>
        <v>0.5</v>
      </c>
      <c r="AC11" s="4">
        <v>8</v>
      </c>
      <c r="AD11" s="4">
        <f t="shared" si="3"/>
        <v>-7.5</v>
      </c>
    </row>
    <row r="12" spans="1:30" x14ac:dyDescent="0.25">
      <c r="A12" s="6">
        <v>46447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s="2"/>
      <c r="AB12" s="4">
        <f>0.5*COUNTIF($B12:Z12, "WAHR")</f>
        <v>0</v>
      </c>
      <c r="AC12" s="4">
        <v>8</v>
      </c>
      <c r="AD12" s="4">
        <f t="shared" si="3"/>
        <v>-8</v>
      </c>
    </row>
    <row r="13" spans="1:30" x14ac:dyDescent="0.25">
      <c r="A13" s="6">
        <v>46478</v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s="2"/>
      <c r="AB13" s="4">
        <f>0.5*COUNTIF($B13:Z13, "WAHR")</f>
        <v>0</v>
      </c>
      <c r="AC13" s="4">
        <v>8</v>
      </c>
      <c r="AD13" s="4">
        <f t="shared" si="3"/>
        <v>-8</v>
      </c>
    </row>
    <row r="14" spans="1:30" x14ac:dyDescent="0.25">
      <c r="A14" s="6">
        <v>46508</v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s="2"/>
      <c r="AB14" s="4">
        <f>0.5*COUNTIF($B14:Z14, "WAHR")</f>
        <v>0</v>
      </c>
      <c r="AC14" s="4">
        <v>8</v>
      </c>
      <c r="AD14" s="4">
        <f t="shared" si="3"/>
        <v>-8</v>
      </c>
    </row>
    <row r="15" spans="1:30" x14ac:dyDescent="0.25">
      <c r="A15" s="6">
        <v>46539</v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s="2"/>
      <c r="AB15" s="4">
        <f>0.5*COUNTIF($B15:Z15, "WAHR")</f>
        <v>0</v>
      </c>
      <c r="AC15" s="4">
        <v>8</v>
      </c>
      <c r="AD15" s="4">
        <f t="shared" si="3"/>
        <v>-8</v>
      </c>
    </row>
    <row r="16" spans="1:30" x14ac:dyDescent="0.25">
      <c r="A16" s="6">
        <v>46569</v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s="2"/>
      <c r="AB16" s="4">
        <f>0.5*COUNTIF($B16:Z16, "WAHR")</f>
        <v>0</v>
      </c>
      <c r="AC16" s="4">
        <v>8</v>
      </c>
      <c r="AD16" s="4">
        <f t="shared" si="3"/>
        <v>-8</v>
      </c>
    </row>
    <row r="17" spans="1:30" x14ac:dyDescent="0.25">
      <c r="A17" s="6">
        <v>46600</v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s="2"/>
      <c r="AB17" s="4">
        <f>0.5*COUNTIF($B17:Z17, "WAHR")</f>
        <v>0</v>
      </c>
      <c r="AC17" s="4">
        <v>8</v>
      </c>
      <c r="AD17" s="4">
        <f t="shared" si="3"/>
        <v>-8</v>
      </c>
    </row>
    <row r="18" spans="1:30" x14ac:dyDescent="0.25">
      <c r="A18" s="6">
        <v>46631</v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s="2"/>
      <c r="AB18" s="4">
        <f>0.5*COUNTIF($B18:Z18, "WAHR")</f>
        <v>0</v>
      </c>
      <c r="AC18" s="4">
        <v>8</v>
      </c>
      <c r="AD18" s="4">
        <f t="shared" si="3"/>
        <v>-8</v>
      </c>
    </row>
    <row r="19" spans="1:30" x14ac:dyDescent="0.25">
      <c r="A19" s="6">
        <v>46661</v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s="2"/>
      <c r="AB19" s="4">
        <f>0.5*COUNTIF($B19:Z19, "WAHR")</f>
        <v>0</v>
      </c>
      <c r="AC19" s="4">
        <v>8</v>
      </c>
      <c r="AD19" s="4">
        <f t="shared" si="3"/>
        <v>-8</v>
      </c>
    </row>
    <row r="20" spans="1:30" x14ac:dyDescent="0.25">
      <c r="A20" s="6">
        <v>46692</v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s="2"/>
      <c r="AB20" s="4">
        <f>0.5*COUNTIF($B20:Z20, "WAHR")</f>
        <v>0</v>
      </c>
      <c r="AC20" s="4">
        <v>8</v>
      </c>
      <c r="AD20" s="4">
        <f t="shared" si="3"/>
        <v>-8</v>
      </c>
    </row>
    <row r="21" spans="1:30" x14ac:dyDescent="0.25">
      <c r="A21" s="6">
        <v>46722</v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s="2"/>
      <c r="AB21" s="4">
        <f>0.5*COUNTIF($B21:Z21, "WAHR")</f>
        <v>0</v>
      </c>
      <c r="AC21" s="4">
        <v>8</v>
      </c>
      <c r="AD21" s="4">
        <f t="shared" ref="AD21:AD33" si="4">AB21-AC21</f>
        <v>-8</v>
      </c>
    </row>
    <row r="22" spans="1:30" x14ac:dyDescent="0.25">
      <c r="A22" s="6">
        <v>46753</v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s="2"/>
      <c r="AB22" s="4">
        <f>0.5*COUNTIF($B22:Z22, "WAHR")</f>
        <v>0</v>
      </c>
      <c r="AC22" s="4">
        <v>8</v>
      </c>
      <c r="AD22" s="4">
        <f t="shared" si="4"/>
        <v>-8</v>
      </c>
    </row>
    <row r="23" spans="1:30" x14ac:dyDescent="0.25">
      <c r="A23" s="6">
        <v>46784</v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s="2"/>
      <c r="AB23" s="4">
        <f>0.5*COUNTIF($B23:Z23, "WAHR")</f>
        <v>0</v>
      </c>
      <c r="AC23" s="4">
        <v>8</v>
      </c>
      <c r="AD23" s="4">
        <f t="shared" si="4"/>
        <v>-8</v>
      </c>
    </row>
    <row r="24" spans="1:30" x14ac:dyDescent="0.25">
      <c r="A24" s="6">
        <v>46813</v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s="2"/>
      <c r="AB24" s="4">
        <f>0.5*COUNTIF($B24:Z24, "WAHR")</f>
        <v>0</v>
      </c>
      <c r="AC24" s="4">
        <v>8</v>
      </c>
      <c r="AD24" s="4">
        <f t="shared" si="4"/>
        <v>-8</v>
      </c>
    </row>
    <row r="25" spans="1:30" x14ac:dyDescent="0.25">
      <c r="A25" s="6">
        <v>46844</v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s="2"/>
      <c r="AB25" s="4">
        <f>0.5*COUNTIF($B25:Z25, "WAHR")</f>
        <v>0</v>
      </c>
      <c r="AC25" s="4">
        <v>8</v>
      </c>
      <c r="AD25" s="4">
        <f t="shared" si="4"/>
        <v>-8</v>
      </c>
    </row>
    <row r="26" spans="1:30" x14ac:dyDescent="0.25">
      <c r="A26" s="6">
        <v>46874</v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s="2"/>
      <c r="AB26" s="4">
        <f>0.5*COUNTIF($B26:Z26, "WAHR")</f>
        <v>0</v>
      </c>
      <c r="AC26" s="4">
        <v>8</v>
      </c>
      <c r="AD26" s="4">
        <f t="shared" si="4"/>
        <v>-8</v>
      </c>
    </row>
    <row r="27" spans="1:30" x14ac:dyDescent="0.25">
      <c r="A27" s="6">
        <v>46905</v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s="2"/>
      <c r="AB27" s="4">
        <f>0.5*COUNTIF($B27:Z27, "WAHR")</f>
        <v>0</v>
      </c>
      <c r="AC27" s="4">
        <v>8</v>
      </c>
      <c r="AD27" s="4">
        <f t="shared" si="4"/>
        <v>-8</v>
      </c>
    </row>
    <row r="28" spans="1:30" x14ac:dyDescent="0.25">
      <c r="A28" s="6">
        <v>46935</v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s="2"/>
      <c r="AB28" s="4">
        <f>0.5*COUNTIF($B28:Z28, "WAHR")</f>
        <v>0</v>
      </c>
      <c r="AC28" s="4">
        <v>8</v>
      </c>
      <c r="AD28" s="4">
        <f t="shared" si="4"/>
        <v>-8</v>
      </c>
    </row>
    <row r="29" spans="1:30" x14ac:dyDescent="0.25">
      <c r="A29" s="6">
        <v>46966</v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s="2"/>
      <c r="AB29" s="4">
        <f>0.5*COUNTIF($B29:Z29, "WAHR")</f>
        <v>0</v>
      </c>
      <c r="AC29" s="4">
        <v>8</v>
      </c>
      <c r="AD29" s="4">
        <f t="shared" si="4"/>
        <v>-8</v>
      </c>
    </row>
    <row r="30" spans="1:30" x14ac:dyDescent="0.25">
      <c r="A30" s="6">
        <v>46997</v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s="2"/>
      <c r="AB30" s="4">
        <f>0.5*COUNTIF($B30:Z30, "WAHR")</f>
        <v>0</v>
      </c>
      <c r="AC30" s="4">
        <v>8</v>
      </c>
      <c r="AD30" s="4">
        <f t="shared" si="4"/>
        <v>-8</v>
      </c>
    </row>
    <row r="31" spans="1:30" x14ac:dyDescent="0.25">
      <c r="A31" s="6">
        <v>47027</v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s="2"/>
      <c r="AB31" s="4">
        <f>0.5*COUNTIF($B31:Z31, "WAHR")</f>
        <v>0</v>
      </c>
      <c r="AC31" s="4">
        <v>8</v>
      </c>
      <c r="AD31" s="4">
        <f t="shared" si="4"/>
        <v>-8</v>
      </c>
    </row>
    <row r="32" spans="1:30" x14ac:dyDescent="0.25">
      <c r="A32" s="6">
        <v>47058</v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s="2"/>
      <c r="AB32" s="4">
        <f>0.5*COUNTIF($B32:Z32, "WAHR")</f>
        <v>0</v>
      </c>
      <c r="AC32" s="4">
        <v>8</v>
      </c>
      <c r="AD32" s="4">
        <f t="shared" si="4"/>
        <v>-8</v>
      </c>
    </row>
    <row r="33" spans="1:30" x14ac:dyDescent="0.25">
      <c r="A33" s="6">
        <v>47088</v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s="2"/>
      <c r="AB33" s="4">
        <f>0.5*COUNTIF($B33:Z33, "WAHR")</f>
        <v>0</v>
      </c>
      <c r="AC33" s="4">
        <v>8</v>
      </c>
      <c r="AD33" s="4">
        <f t="shared" si="4"/>
        <v>-8</v>
      </c>
    </row>
    <row r="34" spans="1:1" x14ac:dyDescent="0.25">
      <c r="A34" s="6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2026-10-19T15:58:29Z</dcterms:created>
  <dcterms:modified xsi:type="dcterms:W3CDTF">2026-10-25T15:15:20Z</dcterms:modified>
</cp:coreProperties>
</file>